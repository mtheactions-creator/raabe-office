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Office Suite\packages\ooxml\test\fixtures\"/>
    </mc:Choice>
  </mc:AlternateContent>
  <xr:revisionPtr revIDLastSave="0" documentId="8_{49C7992D-7541-4C6F-BF36-40DBEA817E34}" xr6:coauthVersionLast="47" xr6:coauthVersionMax="47" xr10:uidLastSave="{00000000-0000-0000-0000-000000000000}"/>
  <bookViews>
    <workbookView xWindow="-110" yWindow="-110" windowWidth="38620" windowHeight="21220" xr2:uid="{F9F5B218-B1B7-47B8-B6D9-BD529F43AF4B}"/>
  </bookViews>
  <sheets>
    <sheet name="Formeln" sheetId="1" r:id="rId1"/>
    <sheet name="Daten" sheetId="2" r:id="rId2"/>
    <sheet name="Mein Blatt" sheetId="3" r:id="rId3"/>
  </sheets>
  <definedNames>
    <definedName name="Erste">Daten!$A$1</definedName>
    <definedName name="Zahlen">Daten!$A$1:$A$10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I3" i="1"/>
  <c r="I4" i="1"/>
  <c r="L2" i="1"/>
  <c r="L3" i="1"/>
  <c r="L1" i="1"/>
  <c r="K2" i="1"/>
  <c r="K3" i="1"/>
  <c r="K1" i="1"/>
  <c r="J2" i="1"/>
  <c r="J3" i="1"/>
  <c r="J4" i="1"/>
  <c r="J1" i="1"/>
  <c r="H3" i="1"/>
  <c r="H4" i="1"/>
  <c r="H2" i="1"/>
  <c r="G2" i="1"/>
  <c r="G3" i="1"/>
  <c r="G4" i="1"/>
  <c r="G1" i="1"/>
  <c r="F2" i="1"/>
  <c r="F3" i="1"/>
  <c r="F1" i="1"/>
  <c r="E2" i="1"/>
  <c r="E3" i="1"/>
  <c r="E4" i="1"/>
  <c r="E5" i="1"/>
  <c r="E1" i="1"/>
  <c r="D1" i="1" a="1"/>
  <c r="D1" i="1" s="1"/>
  <c r="C1" i="1" a="1"/>
  <c r="C1" i="1" s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D3" i="2"/>
  <c r="E3" i="2"/>
  <c r="F3" i="2"/>
  <c r="D4" i="2"/>
  <c r="E4" i="2"/>
  <c r="F4" i="2"/>
  <c r="D5" i="2"/>
  <c r="E5" i="2"/>
  <c r="F5" i="2"/>
  <c r="D6" i="2"/>
  <c r="E6" i="2"/>
  <c r="F6" i="2"/>
  <c r="E2" i="2"/>
  <c r="F2" i="2"/>
  <c r="D2" i="2"/>
  <c r="C2" i="2"/>
  <c r="C3" i="2"/>
  <c r="C4" i="2"/>
  <c r="C5" i="2"/>
  <c r="C6" i="2"/>
  <c r="C7" i="2"/>
  <c r="C8" i="2"/>
  <c r="C9" i="2"/>
  <c r="C10" i="2"/>
  <c r="C1" i="2"/>
  <c r="B2" i="2"/>
  <c r="B3" i="2"/>
  <c r="B4" i="2"/>
  <c r="B5" i="2"/>
  <c r="B6" i="2"/>
  <c r="B7" i="2"/>
  <c r="B8" i="2"/>
  <c r="B9" i="2"/>
  <c r="B10" i="2"/>
  <c r="B1" i="2"/>
  <c r="C3" i="1" l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C20B-ED7B-4299-8B46-B99EB1934C8E}">
  <dimension ref="A1:L23"/>
  <sheetViews>
    <sheetView tabSelected="1" workbookViewId="0"/>
  </sheetViews>
  <sheetFormatPr baseColWidth="10" defaultRowHeight="14.5" x14ac:dyDescent="0.35"/>
  <sheetData>
    <row r="1" spans="1:12" x14ac:dyDescent="0.35">
      <c r="A1">
        <f>SUM(Daten!A1:A10)</f>
        <v>55</v>
      </c>
      <c r="C1">
        <f t="array" ref="C1:C3">Daten!A1:A3*10</f>
        <v>10</v>
      </c>
      <c r="D1" cm="1">
        <f t="array" ref="D1:D3">_xlfn.SEQUENCE(3)</f>
        <v>1</v>
      </c>
      <c r="E1">
        <f>SUM(Daten!A1:A3)</f>
        <v>6</v>
      </c>
      <c r="F1" t="str">
        <f>"A1"&amp;Daten!A1</f>
        <v>A11</v>
      </c>
      <c r="G1">
        <f>SUM(Daten!A:A)+Daten!A1+SUM(Daten!$1:1)</f>
        <v>63</v>
      </c>
      <c r="J1">
        <f>SUM(Daten!B$1:B1)</f>
        <v>2</v>
      </c>
      <c r="K1">
        <f>Daten!A1:A2</f>
        <v>1</v>
      </c>
      <c r="L1">
        <f>LOG10(Daten!A1)+ATAN2(1,Daten!A1)</f>
        <v>0.78539816339744828</v>
      </c>
    </row>
    <row r="2" spans="1:12" x14ac:dyDescent="0.35">
      <c r="A2">
        <f>AVERAGE(Daten!A:A)</f>
        <v>5.5</v>
      </c>
      <c r="C2">
        <v>20</v>
      </c>
      <c r="D2">
        <v>2</v>
      </c>
      <c r="E2">
        <f>SUM(Daten!A2:A4)</f>
        <v>9</v>
      </c>
      <c r="F2" t="str">
        <f>"A1"&amp;Daten!A2</f>
        <v>A12</v>
      </c>
      <c r="G2">
        <f>SUM(Daten!A:A)+Daten!A2+SUM(Daten!$1:2)</f>
        <v>94</v>
      </c>
      <c r="H2">
        <f>Daten!B1+'Mein Blatt'!$A$1+H$1</f>
        <v>9</v>
      </c>
      <c r="I2">
        <f>Daten!C1+'Mein Blatt'!$A$1+I$1</f>
        <v>11</v>
      </c>
      <c r="J2">
        <f>SUM(Daten!B$1:B2)</f>
        <v>6</v>
      </c>
      <c r="K2">
        <f>Daten!A2:A3</f>
        <v>2</v>
      </c>
      <c r="L2">
        <f>LOG10(Daten!A2)+ATAN2(1,Daten!A2)</f>
        <v>1.4081787134580717</v>
      </c>
    </row>
    <row r="3" spans="1:12" x14ac:dyDescent="0.35">
      <c r="A3">
        <f>Daten!$A$1+Daten!A$2+Daten!$A3</f>
        <v>6</v>
      </c>
      <c r="C3">
        <v>30</v>
      </c>
      <c r="D3">
        <v>3</v>
      </c>
      <c r="E3">
        <f>SUM(Daten!A3:A5)</f>
        <v>12</v>
      </c>
      <c r="F3" t="str">
        <f>"A1"&amp;Daten!A3</f>
        <v>A13</v>
      </c>
      <c r="G3">
        <f>SUM(Daten!A:A)+Daten!A3+SUM(Daten!$1:3)</f>
        <v>139</v>
      </c>
      <c r="H3">
        <f>Daten!B2+'Mein Blatt'!$A$1+H$1</f>
        <v>11</v>
      </c>
      <c r="I3">
        <f>Daten!C2+'Mein Blatt'!$A$1+I$1</f>
        <v>13</v>
      </c>
      <c r="J3">
        <f>SUM(Daten!B$1:B3)</f>
        <v>12</v>
      </c>
      <c r="K3">
        <f>Daten!A3:A4</f>
        <v>3</v>
      </c>
      <c r="L3">
        <f>LOG10(Daten!A3)+ATAN2(1,Daten!A3)</f>
        <v>1.7261670271179168</v>
      </c>
    </row>
    <row r="4" spans="1:12" x14ac:dyDescent="0.35">
      <c r="A4" t="str">
        <f>IF(A1&gt;50,"groß","klein")</f>
        <v>groß</v>
      </c>
      <c r="E4">
        <f>SUM(Daten!A4:A6)</f>
        <v>15</v>
      </c>
      <c r="G4">
        <f>SUM(Daten!A:A)+Daten!A4+SUM(Daten!$1:4)</f>
        <v>198</v>
      </c>
      <c r="H4">
        <f>Daten!B3+'Mein Blatt'!$A$1+H$1</f>
        <v>13</v>
      </c>
      <c r="I4">
        <f>Daten!C3+'Mein Blatt'!$A$1+I$1</f>
        <v>15</v>
      </c>
      <c r="J4">
        <f>SUM(Daten!B$1:B4)</f>
        <v>20</v>
      </c>
    </row>
    <row r="5" spans="1:12" x14ac:dyDescent="0.35">
      <c r="A5" t="b">
        <f>A1&gt;10</f>
        <v>1</v>
      </c>
      <c r="E5">
        <f>SUM(Daten!A5:A7)</f>
        <v>18</v>
      </c>
    </row>
    <row r="6" spans="1:12" x14ac:dyDescent="0.35">
      <c r="A6" t="e">
        <f>1/0</f>
        <v>#DIV/0!</v>
      </c>
    </row>
    <row r="7" spans="1:12" x14ac:dyDescent="0.35">
      <c r="A7">
        <f>ROUND(PI(),4)</f>
        <v>3.1415999999999999</v>
      </c>
    </row>
    <row r="8" spans="1:12" x14ac:dyDescent="0.35">
      <c r="A8" t="str">
        <f>_xlfn.CONCAT("a","b")</f>
        <v>ab</v>
      </c>
    </row>
    <row r="9" spans="1:12" x14ac:dyDescent="0.35">
      <c r="A9">
        <f>_xlfn.XLOOKUP(3,Daten!A1:A10,Daten!B1:B10)</f>
        <v>6</v>
      </c>
    </row>
    <row r="10" spans="1:12" x14ac:dyDescent="0.35">
      <c r="A10">
        <f>SUM(Daten!1:1)</f>
        <v>7</v>
      </c>
    </row>
    <row r="11" spans="1:12" x14ac:dyDescent="0.35">
      <c r="A11">
        <f>Erste*2</f>
        <v>2</v>
      </c>
    </row>
    <row r="12" spans="1:12" x14ac:dyDescent="0.35">
      <c r="A12">
        <f>SUM(Zahlen)</f>
        <v>55</v>
      </c>
    </row>
    <row r="13" spans="1:12" x14ac:dyDescent="0.35">
      <c r="A13">
        <f>'Mein Blatt'!A1+1</f>
        <v>8</v>
      </c>
    </row>
    <row r="14" spans="1:12" x14ac:dyDescent="0.35">
      <c r="A14" t="str">
        <f>TEXT(A1,"0.00")</f>
        <v>055</v>
      </c>
    </row>
    <row r="15" spans="1:12" x14ac:dyDescent="0.35">
      <c r="A15">
        <f>-A1^2</f>
        <v>3025</v>
      </c>
    </row>
    <row r="16" spans="1:12" x14ac:dyDescent="0.35">
      <c r="A16" t="str">
        <f>A1&amp;" Punkte"</f>
        <v>55 Punkte</v>
      </c>
    </row>
    <row r="17" spans="1:1" x14ac:dyDescent="0.35">
      <c r="A17">
        <f>COUNTIF(Daten!A1:A10,"&gt;5")</f>
        <v>5</v>
      </c>
    </row>
    <row r="18" spans="1:1" x14ac:dyDescent="0.35">
      <c r="A18" t="str">
        <f>IFERROR(1/0,"durch null")</f>
        <v>durch null</v>
      </c>
    </row>
    <row r="19" spans="1:1" x14ac:dyDescent="0.35">
      <c r="A19">
        <f>SUM(Daten!A1:B3 Daten!B2:C5)</f>
        <v>10</v>
      </c>
    </row>
    <row r="20" spans="1:1" x14ac:dyDescent="0.35">
      <c r="A20">
        <f>SUM((Daten!A1:A2,Daten!A5:A6))</f>
        <v>14</v>
      </c>
    </row>
    <row r="21" spans="1:1" x14ac:dyDescent="0.35">
      <c r="A21">
        <f>50%*A1</f>
        <v>27.5</v>
      </c>
    </row>
    <row r="22" spans="1:1" x14ac:dyDescent="0.35">
      <c r="A22" t="b">
        <f>TRUE</f>
        <v>1</v>
      </c>
    </row>
    <row r="23" spans="1:1" x14ac:dyDescent="0.35">
      <c r="A23" t="e">
        <f>#N/A</f>
        <v>#N/A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CE79-85C6-4407-BDD9-6E7E40B3D5BA}">
  <dimension ref="A1:F10"/>
  <sheetViews>
    <sheetView workbookViewId="0"/>
  </sheetViews>
  <sheetFormatPr baseColWidth="10" defaultRowHeight="14.5" x14ac:dyDescent="0.35"/>
  <sheetData>
    <row r="1" spans="1:6" x14ac:dyDescent="0.35">
      <c r="A1">
        <v>1</v>
      </c>
      <c r="B1">
        <f>A1*2</f>
        <v>2</v>
      </c>
      <c r="C1">
        <f>A1+$A$1+A$1+$A1</f>
        <v>4</v>
      </c>
    </row>
    <row r="2" spans="1:6" x14ac:dyDescent="0.35">
      <c r="A2">
        <v>2</v>
      </c>
      <c r="B2">
        <f t="shared" ref="B2:B10" si="0">A2*2</f>
        <v>4</v>
      </c>
      <c r="C2">
        <f t="shared" ref="C2:C10" si="1">A2+$A$1+A$1+$A2</f>
        <v>6</v>
      </c>
      <c r="D2">
        <f>$A2*B$1+ROW()</f>
        <v>6</v>
      </c>
      <c r="E2">
        <f t="shared" ref="E2:F2" si="2">$A2*C$1+ROW()</f>
        <v>10</v>
      </c>
      <c r="F2">
        <f t="shared" si="2"/>
        <v>2</v>
      </c>
    </row>
    <row r="3" spans="1:6" x14ac:dyDescent="0.35">
      <c r="A3">
        <v>3</v>
      </c>
      <c r="B3">
        <f t="shared" si="0"/>
        <v>6</v>
      </c>
      <c r="C3">
        <f t="shared" si="1"/>
        <v>8</v>
      </c>
      <c r="D3">
        <f t="shared" ref="D3:D6" si="3">$A3*B$1+ROW()</f>
        <v>9</v>
      </c>
      <c r="E3">
        <f t="shared" ref="E3:E6" si="4">$A3*C$1+ROW()</f>
        <v>15</v>
      </c>
      <c r="F3">
        <f t="shared" ref="F3:F6" si="5">$A3*D$1+ROW()</f>
        <v>3</v>
      </c>
    </row>
    <row r="4" spans="1:6" x14ac:dyDescent="0.35">
      <c r="A4">
        <v>4</v>
      </c>
      <c r="B4">
        <f t="shared" si="0"/>
        <v>8</v>
      </c>
      <c r="C4">
        <f t="shared" si="1"/>
        <v>10</v>
      </c>
      <c r="D4">
        <f t="shared" si="3"/>
        <v>12</v>
      </c>
      <c r="E4">
        <f t="shared" si="4"/>
        <v>20</v>
      </c>
      <c r="F4">
        <f t="shared" si="5"/>
        <v>4</v>
      </c>
    </row>
    <row r="5" spans="1:6" x14ac:dyDescent="0.35">
      <c r="A5">
        <v>5</v>
      </c>
      <c r="B5">
        <f t="shared" si="0"/>
        <v>10</v>
      </c>
      <c r="C5">
        <f t="shared" si="1"/>
        <v>12</v>
      </c>
      <c r="D5">
        <f t="shared" si="3"/>
        <v>15</v>
      </c>
      <c r="E5">
        <f t="shared" si="4"/>
        <v>25</v>
      </c>
      <c r="F5">
        <f t="shared" si="5"/>
        <v>5</v>
      </c>
    </row>
    <row r="6" spans="1:6" x14ac:dyDescent="0.35">
      <c r="A6">
        <v>6</v>
      </c>
      <c r="B6">
        <f t="shared" si="0"/>
        <v>12</v>
      </c>
      <c r="C6">
        <f t="shared" si="1"/>
        <v>14</v>
      </c>
      <c r="D6">
        <f t="shared" si="3"/>
        <v>18</v>
      </c>
      <c r="E6">
        <f t="shared" si="4"/>
        <v>30</v>
      </c>
      <c r="F6">
        <f t="shared" si="5"/>
        <v>6</v>
      </c>
    </row>
    <row r="7" spans="1:6" x14ac:dyDescent="0.35">
      <c r="A7">
        <v>7</v>
      </c>
      <c r="B7">
        <f t="shared" si="0"/>
        <v>14</v>
      </c>
      <c r="C7">
        <f t="shared" si="1"/>
        <v>16</v>
      </c>
    </row>
    <row r="8" spans="1:6" x14ac:dyDescent="0.35">
      <c r="A8">
        <v>8</v>
      </c>
      <c r="B8">
        <f t="shared" si="0"/>
        <v>16</v>
      </c>
      <c r="C8">
        <f t="shared" si="1"/>
        <v>18</v>
      </c>
    </row>
    <row r="9" spans="1:6" x14ac:dyDescent="0.35">
      <c r="A9">
        <v>9</v>
      </c>
      <c r="B9">
        <f t="shared" si="0"/>
        <v>18</v>
      </c>
      <c r="C9">
        <f t="shared" si="1"/>
        <v>20</v>
      </c>
    </row>
    <row r="10" spans="1:6" x14ac:dyDescent="0.35">
      <c r="A10">
        <v>10</v>
      </c>
      <c r="B10">
        <f t="shared" si="0"/>
        <v>20</v>
      </c>
      <c r="C10">
        <f t="shared" si="1"/>
        <v>22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CF04-0087-47AA-8012-9697338726FA}">
  <dimension ref="A1"/>
  <sheetViews>
    <sheetView workbookViewId="0"/>
  </sheetViews>
  <sheetFormatPr baseColWidth="10" defaultRowHeight="14.5" x14ac:dyDescent="0.35"/>
  <sheetData>
    <row r="1" spans="1:1" x14ac:dyDescent="0.35">
      <c r="A1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Formeln</vt:lpstr>
      <vt:lpstr>Daten</vt:lpstr>
      <vt:lpstr>Mein Blatt</vt:lpstr>
      <vt:lpstr>Erste</vt:lpstr>
      <vt:lpstr>Zahlen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Raabe Office</dc:creator>
  <cp:lastModifiedBy>Raabe Office</cp:lastModifiedBy>
  <dcterms:created xsi:type="dcterms:W3CDTF">2026-10-27T20:20:23Z</dcterms:created>
  <dcterms:modified xsi:type="dcterms:W3CDTF">2026-10-27T20:20:24Z</dcterms:modified>
</cp:coreProperties>
</file>